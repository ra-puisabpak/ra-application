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ster Issue List" sheetId="2" state="visible" r:id="rId2"/>
    <sheet xmlns:r="http://schemas.openxmlformats.org/officeDocument/2006/relationships" name="SKU Compliance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=1]&quot;X&quot;;[=0]&quot;–&quot;"/>
  </numFmts>
  <fonts count="15">
    <font>
      <name val="Calibri"/>
      <family val="2"/>
      <color theme="1"/>
      <sz val="11"/>
      <scheme val="minor"/>
    </font>
    <font>
      <name val="Tahoma"/>
      <b val="1"/>
      <color rgb="001F4E2C"/>
      <sz val="18"/>
    </font>
    <font>
      <name val="Tahoma"/>
      <i val="1"/>
      <color rgb="00666666"/>
      <sz val="11"/>
    </font>
    <font>
      <name val="Tahoma"/>
      <i val="1"/>
      <color rgb="00666666"/>
      <sz val="9"/>
    </font>
    <font>
      <name val="Tahoma"/>
      <b val="1"/>
      <color rgb="001F4E2C"/>
      <sz val="13"/>
    </font>
    <font>
      <name val="Tahoma"/>
      <b val="1"/>
      <color rgb="00000000"/>
      <sz val="10"/>
    </font>
    <font>
      <name val="Tahoma"/>
      <b val="1"/>
      <color rgb="00B00020"/>
      <sz val="13"/>
    </font>
    <font>
      <name val="Tahoma"/>
      <color rgb="00B00020"/>
      <sz val="10"/>
    </font>
    <font>
      <name val="Tahoma"/>
      <b val="1"/>
      <color rgb="00FFFFFF"/>
      <sz val="11"/>
    </font>
    <font>
      <name val="Tahoma"/>
      <color rgb="00000000"/>
      <sz val="10"/>
    </font>
    <font>
      <name val="Tahoma"/>
      <b val="1"/>
      <color rgb="008A6D00"/>
      <sz val="10"/>
    </font>
    <font>
      <name val="Tahoma"/>
      <b val="1"/>
      <color rgb="001F4E2C"/>
      <sz val="10"/>
    </font>
    <font>
      <name val="Tahoma"/>
      <b val="1"/>
      <color rgb="00B00020"/>
      <sz val="10"/>
    </font>
    <font>
      <name val="Tahoma"/>
      <b val="1"/>
      <color rgb="001F4E2C"/>
      <sz val="14"/>
    </font>
    <font>
      <name val="Tahoma"/>
      <b val="1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E8F0E5"/>
      </patternFill>
    </fill>
    <fill>
      <patternFill patternType="solid">
        <fgColor rgb="001F4E2C"/>
      </patternFill>
    </fill>
    <fill>
      <patternFill patternType="solid">
        <fgColor rgb="00FFF6DE"/>
      </patternFill>
    </fill>
    <fill>
      <patternFill patternType="solid">
        <fgColor rgb="00FBE9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0" borderId="0" pivotButton="0" quotePrefix="0" xfId="0"/>
    <xf numFmtId="164" fontId="11" fillId="2" borderId="1" applyAlignment="1" pivotButton="0" quotePrefix="0" xfId="0">
      <alignment horizontal="center" vertical="center" wrapText="1"/>
    </xf>
    <xf numFmtId="164" fontId="14" fillId="0" borderId="1" applyAlignment="1" pivotButton="0" quotePrefix="0" xfId="0">
      <alignment horizontal="center" vertical="center" wrapText="1"/>
    </xf>
    <xf numFmtId="164" fontId="12" fillId="5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Puisabpak — Master Label Correction Tracker</t>
        </is>
      </c>
    </row>
    <row r="2">
      <c r="A2" s="2" t="inlineStr">
        <is>
          <t>รวมประเด็นจากหนังสือแจ้ง อย. (เลขรับ 16050/16051) + ผลตรวจสอบฉลากทั้งไลน์ 13 SKU</t>
        </is>
      </c>
    </row>
    <row r="3">
      <c r="A3" s="3" t="inlineStr">
        <is>
          <t>อัปเดตล่าสุด: จากบทสนทนา RA/QA — สถานะ ณ ปัจจุบัน</t>
        </is>
      </c>
    </row>
    <row r="5">
      <c r="A5" s="4" t="inlineStr">
        <is>
          <t>สรุปสถานะ</t>
        </is>
      </c>
    </row>
    <row r="6">
      <c r="A6" s="5" t="inlineStr">
        <is>
          <t>จำนวนประเด็นทั้งหมด</t>
        </is>
      </c>
      <c r="B6" s="6">
        <f>COUNTA('Master Issue List'!A2:A12)</f>
        <v/>
      </c>
    </row>
    <row r="7">
      <c r="A7" s="5" t="inlineStr">
        <is>
          <t>พร้อมแก้ไขทันที (ไม่ต้องรอมติ)</t>
        </is>
      </c>
      <c r="B7" s="6">
        <f>COUNTIF('Master Issue List'!F2:F12,"พร้อมแก้*")</f>
        <v/>
      </c>
    </row>
    <row r="8">
      <c r="A8" s="5" t="inlineStr">
        <is>
          <t>รอผล COA จากซัพพลายเออร์</t>
        </is>
      </c>
      <c r="B8" s="6">
        <f>COUNTIF('Master Issue List'!F2:F12,"รอ COA*")</f>
        <v/>
      </c>
    </row>
    <row r="9">
      <c r="A9" s="5" t="inlineStr">
        <is>
          <t>รอมติทีม R&amp;D / ผู้บริหาร</t>
        </is>
      </c>
      <c r="B9" s="6">
        <f>COUNTIF('Master Issue List'!F2:F12,"รอมติ*")</f>
        <v/>
      </c>
    </row>
    <row r="10">
      <c r="A10" s="5" t="inlineStr">
        <is>
          <t>จำนวน SKU ทั้งหมดในไลน์</t>
        </is>
      </c>
      <c r="B10" s="6">
        <f>COUNTA('SKU Compliance Matrix'!A3:A15)</f>
        <v/>
      </c>
    </row>
    <row r="11">
      <c r="A11" s="5" t="inlineStr">
        <is>
          <t>SKU ที่มีอย่างน้อย 1 ประเด็น</t>
        </is>
      </c>
      <c r="B11" s="6">
        <f>COUNTIF('SKU Compliance Matrix'!K3:K15,"&gt;0")</f>
        <v/>
      </c>
    </row>
    <row r="13">
      <c r="A13" s="7" t="inlineStr">
        <is>
          <t>ประเด็นวิกฤตที่ต้องเร่งตัดสินใจ</t>
        </is>
      </c>
    </row>
    <row r="14" ht="18" customHeight="1">
      <c r="A14" s="8" t="inlineStr">
        <is>
          <t>• #1 ชื่อ สบ.8 — อย. ระบุชัดว่าต้องแก้ก่อนรายการอื่นทั้งหมด (Blocking)</t>
        </is>
      </c>
    </row>
    <row r="15" ht="18" customHeight="1">
      <c r="A15" s="8" t="inlineStr">
        <is>
          <t>• #9 ธง "เจ" (PSP90, PSP07) ขัดแย้งคำเตือนกุ้ง/ปลา — ยืนยันแล้วว่าไลน์เห็ดหอมใช้ร่วมกับ 5 SKU ที่มีปลาจริง</t>
        </is>
      </c>
    </row>
    <row r="16" ht="18" customHeight="1">
      <c r="A16" s="8" t="inlineStr">
        <is>
          <t>• #7 หล่อฮังก๊วย เป็นวัตถุเจือปนที่ยังไม่ได้รับอนุญาต — กระทบ 3 SKU (PSP17, PSP05, PSP89)</t>
        </is>
      </c>
    </row>
  </sheetData>
  <mergeCells count="6">
    <mergeCell ref="A2:F2"/>
    <mergeCell ref="A16:F16"/>
    <mergeCell ref="A14:F14"/>
    <mergeCell ref="A1:F1"/>
    <mergeCell ref="A3:F3"/>
    <mergeCell ref="A15:F15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6" customWidth="1" min="3" max="3"/>
    <col width="20" customWidth="1" min="4" max="4"/>
    <col width="10" customWidth="1" min="5" max="5"/>
    <col width="26" customWidth="1" min="6" max="6"/>
    <col width="16" customWidth="1" min="7" max="7"/>
    <col width="34" customWidth="1" min="8" max="8"/>
    <col width="40" customWidth="1" min="9" max="9"/>
  </cols>
  <sheetData>
    <row r="1" ht="30" customHeight="1">
      <c r="A1" s="9" t="inlineStr">
        <is>
          <t>ID</t>
        </is>
      </c>
      <c r="B1" s="9" t="inlineStr">
        <is>
          <t>ประเด็น</t>
        </is>
      </c>
      <c r="C1" s="9" t="inlineStr">
        <is>
          <t>ประเภท</t>
        </is>
      </c>
      <c r="D1" s="9" t="inlineStr">
        <is>
          <t>SKU ที่กระทบ</t>
        </is>
      </c>
      <c r="E1" s="9" t="inlineStr">
        <is>
          <t>จำนวน SKU</t>
        </is>
      </c>
      <c r="F1" s="9" t="inlineStr">
        <is>
          <t>สถานะ</t>
        </is>
      </c>
      <c r="G1" s="9" t="inlineStr">
        <is>
          <t>Owner</t>
        </is>
      </c>
      <c r="H1" s="9" t="inlineStr">
        <is>
          <t>Next Action</t>
        </is>
      </c>
      <c r="I1" s="9" t="inlineStr">
        <is>
          <t>อ้างอิงกฎหมาย / หมายเหตุ</t>
        </is>
      </c>
    </row>
    <row r="2" ht="46" customHeight="1">
      <c r="A2" s="6" t="n">
        <v>1</v>
      </c>
      <c r="B2" s="10" t="inlineStr">
        <is>
          <t>ชื่ออาหารไทย-อังกฤษไม่ตรงกัน (สบ.8)</t>
        </is>
      </c>
      <c r="C2" s="10" t="inlineStr">
        <is>
          <t>Blocking</t>
        </is>
      </c>
      <c r="D2" s="10" t="inlineStr">
        <is>
          <t>PSP17, PSP05</t>
        </is>
      </c>
      <c r="E2" s="11" t="n">
        <v>2</v>
      </c>
      <c r="F2" s="6" t="inlineStr">
        <is>
          <t>รอมติชื่อ</t>
        </is>
      </c>
      <c r="G2" s="10" t="inlineStr">
        <is>
          <t>RA + ผู้บริหาร</t>
        </is>
      </c>
      <c r="H2" s="10" t="inlineStr">
        <is>
          <t>เลือกรูปแบบชื่อ A หรือ B แล้วยื่นแก้ สบ.8 ก่อนเป็นลำดับแรก</t>
        </is>
      </c>
      <c r="I2" s="10" t="inlineStr">
        <is>
          <t>อย. ระบุชัดว่าต้องแก้ข้อนี้ก่อนพิจารณารายการอื่น</t>
        </is>
      </c>
    </row>
    <row r="3" ht="46" customHeight="1">
      <c r="A3" s="6" t="n">
        <v>2</v>
      </c>
      <c r="B3" s="10" t="inlineStr">
        <is>
          <t>ฉลากต้องแสดงชื่อไทย+อังกฤษตรงกับ สบ.8 ที่แก้แล้ว</t>
        </is>
      </c>
      <c r="C3" s="10" t="inlineStr">
        <is>
          <t>Dependent (รอข้อ 1)</t>
        </is>
      </c>
      <c r="D3" s="10" t="inlineStr">
        <is>
          <t>PSP17, PSP05</t>
        </is>
      </c>
      <c r="E3" s="11" t="n">
        <v>2</v>
      </c>
      <c r="F3" s="12" t="inlineStr">
        <is>
          <t>รอผลข้อ 1</t>
        </is>
      </c>
      <c r="G3" s="10" t="inlineStr">
        <is>
          <t>กราฟิก</t>
        </is>
      </c>
      <c r="H3" s="10" t="inlineStr">
        <is>
          <t>นำชื่อที่ยืนยันจากข้อ 1 มาใส่ในฉลาก</t>
        </is>
      </c>
      <c r="I3" s="10" t="inlineStr">
        <is>
          <t>-</t>
        </is>
      </c>
    </row>
    <row r="4" ht="46" customHeight="1">
      <c r="A4" s="6" t="n">
        <v>3</v>
      </c>
      <c r="B4" s="10" t="inlineStr">
        <is>
          <t>ชื่อผู้ผลิตใช้รูปแบบย่อ "บจก. พระจันทร์ ๕๐" ไม่ใช่ชื่อเต็ม</t>
        </is>
      </c>
      <c r="C4" s="10" t="inlineStr">
        <is>
          <t>Direct Fix</t>
        </is>
      </c>
      <c r="D4" s="10" t="inlineStr">
        <is>
          <t>ทั้ง 13 SKU (ทุกฉลากในไลน์)</t>
        </is>
      </c>
      <c r="E4" s="11" t="n">
        <v>13</v>
      </c>
      <c r="F4" s="13" t="inlineStr">
        <is>
          <t>พร้อมแก้ทันที</t>
        </is>
      </c>
      <c r="G4" s="10" t="inlineStr">
        <is>
          <t>กราฟิก</t>
        </is>
      </c>
      <c r="H4" s="10" t="inlineStr">
        <is>
          <t>แก้เป็น "บริษัท พระจันทร์๕๐ จำกัด" ทุกฉลากพร้อมกัน (แก้ template เดียวใช้ได้ทั้งหมด)</t>
        </is>
      </c>
      <c r="I4" s="10" t="inlineStr">
        <is>
          <t>อย. ยืนยันแล้วว่าต้องใช้ชื่อเต็มตามนิติบุคคล</t>
        </is>
      </c>
    </row>
    <row r="5" ht="46" customHeight="1">
      <c r="A5" s="6" t="n">
        <v>4</v>
      </c>
      <c r="B5" s="10" t="inlineStr">
        <is>
          <t>หัวข้อ "(Ingredients)" มีคำอังกฤษแต่รายการเป็นไทยล้วน</t>
        </is>
      </c>
      <c r="C5" s="10" t="inlineStr">
        <is>
          <t>Direct Fix</t>
        </is>
      </c>
      <c r="D5" s="10" t="inlineStr">
        <is>
          <t>PSP17, PSP05</t>
        </is>
      </c>
      <c r="E5" s="11" t="n">
        <v>2</v>
      </c>
      <c r="F5" s="13" t="inlineStr">
        <is>
          <t>พร้อมแก้ทันที</t>
        </is>
      </c>
      <c r="G5" s="10" t="inlineStr">
        <is>
          <t>กราฟิก</t>
        </is>
      </c>
      <c r="H5" s="10" t="inlineStr">
        <is>
          <t>ตัด "(Ingredients)" ออก เหลือ "ส่วนประกอบสำคัญ" อย่างเดียว</t>
        </is>
      </c>
      <c r="I5" s="10" t="inlineStr">
        <is>
          <t>-</t>
        </is>
      </c>
    </row>
    <row r="6" ht="46" customHeight="1">
      <c r="A6" s="6" t="n">
        <v>5</v>
      </c>
      <c r="B6" s="10" t="inlineStr">
        <is>
          <t>น้ำมันมะกอก "extra light" ไม่ตรงชนิดตามประกาศฯ 421</t>
        </is>
      </c>
      <c r="C6" s="10" t="inlineStr">
        <is>
          <t>รอ COA</t>
        </is>
      </c>
      <c r="D6" s="10" t="inlineStr">
        <is>
          <t>PSP17, PSP05</t>
        </is>
      </c>
      <c r="E6" s="11" t="n">
        <v>2</v>
      </c>
      <c r="F6" s="12" t="inlineStr">
        <is>
          <t>รอ COA</t>
        </is>
      </c>
      <c r="G6" s="10" t="inlineStr">
        <is>
          <t>ฝ่ายจัดซื้อ / R&amp;D</t>
        </is>
      </c>
      <c r="H6" s="10" t="inlineStr">
        <is>
          <t>เช็คเกรดน้ำมันมะกอกที่ใช้จริงเทียบบัญชีหมายเลข 1 แล้วแก้เป็นชื่อไทยที่ถูกต้อง</t>
        </is>
      </c>
      <c r="I6" s="10" t="inlineStr">
        <is>
          <t>ประกาศกระทรวงสาธารณสุขฯ 421 เรื่องน้ำมันและไขมัน</t>
        </is>
      </c>
    </row>
    <row r="7" ht="46" customHeight="1">
      <c r="A7" s="6" t="n">
        <v>6</v>
      </c>
      <c r="B7" s="10" t="inlineStr">
        <is>
          <t>เกลือต้องระบุสถานะไอโอดีน (พบ 7 SKU ใช้เกลือหลายชนิด)</t>
        </is>
      </c>
      <c r="C7" s="10" t="inlineStr">
        <is>
          <t>รอ COA</t>
        </is>
      </c>
      <c r="D7" s="10" t="inlineStr">
        <is>
          <t>PSP17, PSP05, PSP89, PSP12, PSP04, PSP90, PSP18</t>
        </is>
      </c>
      <c r="E7" s="11" t="n">
        <v>7</v>
      </c>
      <c r="F7" s="12" t="inlineStr">
        <is>
          <t>รอ COA</t>
        </is>
      </c>
      <c r="G7" s="10" t="inlineStr">
        <is>
          <t>ฝ่ายจัดซื้อ</t>
        </is>
      </c>
      <c r="H7" s="10" t="inlineStr">
        <is>
          <t>ขอ COA เกลือทุกชนิดที่ใช้ในไลน์ (เกลือหิมาลายัน / ดอกเกลือ / เกลือ) ในรอบเดียว</t>
        </is>
      </c>
      <c r="I7" s="10" t="inlineStr">
        <is>
          <t>ประกาศเกลือบริโภค — เสริมไอโอดีนระบุชื่อเฉยๆ / ไม่เสริมต้องมีข้อความเตือนเพิ่ม</t>
        </is>
      </c>
    </row>
    <row r="8" ht="46" customHeight="1">
      <c r="A8" s="6" t="n">
        <v>7</v>
      </c>
      <c r="B8" s="10" t="inlineStr">
        <is>
          <t>น้ำตาลหล่อฮังก๊วย เป็นวัตถุเจือปนที่ยังไม่ได้รับอนุญาต</t>
        </is>
      </c>
      <c r="C8" s="10" t="inlineStr">
        <is>
          <t>รอมติทีม</t>
        </is>
      </c>
      <c r="D8" s="10" t="inlineStr">
        <is>
          <t>PSP17, PSP05, PSP89</t>
        </is>
      </c>
      <c r="E8" s="11" t="n">
        <v>3</v>
      </c>
      <c r="F8" s="14" t="inlineStr">
        <is>
          <t>รอมติทีม</t>
        </is>
      </c>
      <c r="G8" s="10" t="inlineStr">
        <is>
          <t>R&amp;D + ผู้บริหาร</t>
        </is>
      </c>
      <c r="H8" s="10" t="inlineStr">
        <is>
          <t>ตัดสินใจ: ยื่นประเมินวัตถุเจือปนอาหาร (ใช้เวลานาน) vs เปลี่ยนสูตรใช้สารให้ความหวานที่ได้รับอนุญาตแล้ว</t>
        </is>
      </c>
      <c r="I8" s="10" t="inlineStr">
        <is>
          <t>กระทบทั้ง Chilli Olive Oil ทั้ง 2 สูตร + Chilli Sesame Oil</t>
        </is>
      </c>
    </row>
    <row r="9" ht="46" customHeight="1">
      <c r="A9" s="6" t="n">
        <v>8</v>
      </c>
      <c r="B9" s="10" t="inlineStr">
        <is>
          <t>VEGETARIAN FOOD ไม่มีคำแปลไทยกำกับ</t>
        </is>
      </c>
      <c r="C9" s="10" t="inlineStr">
        <is>
          <t>ผสม</t>
        </is>
      </c>
      <c r="D9" s="10" t="inlineStr">
        <is>
          <t>PSP17, PSP05 (อนุมัติแล้ว) / PSP89, PSP04, PSP90 (รอทำ)</t>
        </is>
      </c>
      <c r="E9" s="11" t="n">
        <v>4</v>
      </c>
      <c r="F9" s="12" t="inlineStr">
        <is>
          <t>บางส่วนเสร็จ</t>
        </is>
      </c>
      <c r="G9" s="10" t="inlineStr">
        <is>
          <t>กราฟิก</t>
        </is>
      </c>
      <c r="H9" s="10" t="inlineStr">
        <is>
          <t>PSP17/PSP05: เติม "อาหารมังสวิรัติ" ตามมติผู้บริหารแล้ว รอใส่ในไฟล์แก้ไขจริง | PSP89/PSP04/PSP90: ยังไม่ได้ดำเนินการ ต้องเติมแบบเดียวกัน</t>
        </is>
      </c>
      <c r="I9" s="10" t="inlineStr">
        <is>
          <t>ห้ามใช้คำว่า "เจ" เด็ดขาดถ้าสูตรมีหอมแดง/กระเทียม</t>
        </is>
      </c>
    </row>
    <row r="10" ht="46" customHeight="1">
      <c r="A10" s="6" t="n">
        <v>9</v>
      </c>
      <c r="B10" s="10" t="inlineStr">
        <is>
          <t>ธง "เจ" ขัดแย้งกับคำเตือนภูมิแพ้กุ้ง/ปลา</t>
        </is>
      </c>
      <c r="C10" s="10" t="inlineStr">
        <is>
          <t>รอมติผู้บริหาร (วิกฤต)</t>
        </is>
      </c>
      <c r="D10" s="10" t="inlineStr">
        <is>
          <t>PSP90, PSP07</t>
        </is>
      </c>
      <c r="E10" s="11" t="n">
        <v>2</v>
      </c>
      <c r="F10" s="14" t="inlineStr">
        <is>
          <t>รอมติ — มีหลักฐานยืนยันความเสี่ยงจริง</t>
        </is>
      </c>
      <c r="G10" s="10" t="inlineStr">
        <is>
          <t>R&amp;D/ฝ่ายผลิต + ผู้บริหาร</t>
        </is>
      </c>
      <c r="H10" s="10" t="inlineStr">
        <is>
          <t>ตัดสินใจคง/ถอด claim เจ โดยพิจารณาหลักฐานที่ยืนยันแล้วว่าไลน์ผลิตเห็ดหอมใช้ร่วมกับ 5 SKU ที่มีปลา</t>
        </is>
      </c>
      <c r="I10" s="10" t="inlineStr">
        <is>
          <t>เจ เข้มงวดกว่ามังสวิรัติมาก + มีข้อมูล Raw Material Master Data ยืนยัน cross-contact จริง ไม่ใช่แค่สงสัย</t>
        </is>
      </c>
    </row>
    <row r="11" ht="46" customHeight="1">
      <c r="A11" s="6" t="n">
        <v>10</v>
      </c>
      <c r="B11" s="10" t="inlineStr">
        <is>
          <t>ส่งแบบฉลากแก้ไข + บัญชีข้อความ กลับอีเมล อย.</t>
        </is>
      </c>
      <c r="C11" s="10" t="inlineStr">
        <is>
          <t>Process Step</t>
        </is>
      </c>
      <c r="D11" s="10" t="inlineStr">
        <is>
          <t>PSP17, PSP05</t>
        </is>
      </c>
      <c r="E11" s="11" t="n">
        <v>2</v>
      </c>
      <c r="F11" s="12" t="inlineStr">
        <is>
          <t>รอข้อ 1, 5, 6, 7 เสร็จก่อน</t>
        </is>
      </c>
      <c r="G11" s="10" t="inlineStr">
        <is>
          <t>RA</t>
        </is>
      </c>
      <c r="H11" s="10" t="inlineStr">
        <is>
          <t>รวมแพคเกจฉลากที่แก้ไขสมบูรณ์ทั้งหมดแล้วส่งในรอบเดียว</t>
        </is>
      </c>
      <c r="I11" s="10" t="inlineStr">
        <is>
          <t>-</t>
        </is>
      </c>
    </row>
    <row r="12" ht="46" customHeight="1">
      <c r="A12" s="6" t="n">
        <v>11</v>
      </c>
      <c r="B12" s="10" t="inlineStr">
        <is>
          <t>ค่าธรรมเนียมหารือฉลากโภชนาการ/GDA 6,000 บาท (2 ผลิตภัณฑ์)</t>
        </is>
      </c>
      <c r="C12" s="10" t="inlineStr">
        <is>
          <t>รอมติผู้บริหาร</t>
        </is>
      </c>
      <c r="D12" s="10" t="inlineStr">
        <is>
          <t>PSP17, PSP05</t>
        </is>
      </c>
      <c r="E12" s="11" t="n">
        <v>2</v>
      </c>
      <c r="F12" s="14" t="inlineStr">
        <is>
          <t>รอมติ</t>
        </is>
      </c>
      <c r="G12" s="10" t="inlineStr">
        <is>
          <t>ผู้บริหาร / CEO</t>
        </is>
      </c>
      <c r="H12" s="10" t="inlineStr">
        <is>
          <t>เลือก: ชำระเงินรับหนังสือตอบทางการ vs ไม่ชำระ+แก้เอง+ส่งหนังสือแจ้งเลิกการหารือ</t>
        </is>
      </c>
      <c r="I12" s="10" t="inlineStr">
        <is>
          <t>-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2" customWidth="1" min="11" max="11"/>
  </cols>
  <sheetData>
    <row r="1">
      <c r="A1" s="15" t="inlineStr">
        <is>
          <t>SKU Compliance Matrix — 13 SKU x 8 ประเด็น</t>
        </is>
      </c>
    </row>
    <row r="2" ht="44" customHeight="1">
      <c r="A2" s="9" t="inlineStr">
        <is>
          <t>SKU</t>
        </is>
      </c>
      <c r="B2" s="9" t="inlineStr">
        <is>
          <t>ชื่อผลิตภัณฑ์</t>
        </is>
      </c>
      <c r="C2" s="9" t="inlineStr">
        <is>
          <t>#3 ชื่อผู้ผลิตเต็ม</t>
        </is>
      </c>
      <c r="D2" s="9" t="inlineStr">
        <is>
          <t>#1 ชื่อ สบ.8 ไม่ตรง</t>
        </is>
      </c>
      <c r="E2" s="9" t="inlineStr">
        <is>
          <t>#4 หัวข้อ (Ingredients)</t>
        </is>
      </c>
      <c r="F2" s="9" t="inlineStr">
        <is>
          <t>#5 น้ำมันมะกอก extra light</t>
        </is>
      </c>
      <c r="G2" s="9" t="inlineStr">
        <is>
          <t>#6 เกลือ-ไอโอดีน</t>
        </is>
      </c>
      <c r="H2" s="9" t="inlineStr">
        <is>
          <t>#7 หล่อฮังก๊วย</t>
        </is>
      </c>
      <c r="I2" s="9" t="inlineStr">
        <is>
          <t>#8 VEGETARIAN FOOD ไทย</t>
        </is>
      </c>
      <c r="J2" s="9" t="inlineStr">
        <is>
          <t>#9 ธงเจ ขัดแย้ง</t>
        </is>
      </c>
      <c r="K2" s="9" t="inlineStr">
        <is>
          <t>รวมประเด็น
(ไม่รวม #3)</t>
        </is>
      </c>
    </row>
    <row r="3">
      <c r="A3" s="6" t="inlineStr">
        <is>
          <t>PSP01</t>
        </is>
      </c>
      <c r="B3" s="10" t="inlineStr">
        <is>
          <t>Ground Pork Chilli Paste</t>
        </is>
      </c>
      <c r="C3" s="16" t="n">
        <v>1</v>
      </c>
      <c r="D3" s="17" t="n">
        <v>0</v>
      </c>
      <c r="E3" s="17" t="n">
        <v>0</v>
      </c>
      <c r="F3" s="17" t="n">
        <v>0</v>
      </c>
      <c r="G3" s="17" t="n">
        <v>0</v>
      </c>
      <c r="H3" s="17" t="n">
        <v>0</v>
      </c>
      <c r="I3" s="17" t="n">
        <v>0</v>
      </c>
      <c r="J3" s="17" t="n">
        <v>0</v>
      </c>
      <c r="K3" s="6">
        <f>SUM(D3:J3)</f>
        <v/>
      </c>
    </row>
    <row r="4">
      <c r="A4" s="6" t="inlineStr">
        <is>
          <t>PSP02</t>
        </is>
      </c>
      <c r="B4" s="10" t="inlineStr">
        <is>
          <t>Grilled Fish Chilli Paste</t>
        </is>
      </c>
      <c r="C4" s="16" t="n">
        <v>1</v>
      </c>
      <c r="D4" s="17" t="n">
        <v>0</v>
      </c>
      <c r="E4" s="17" t="n">
        <v>0</v>
      </c>
      <c r="F4" s="17" t="n">
        <v>0</v>
      </c>
      <c r="G4" s="17" t="n">
        <v>0</v>
      </c>
      <c r="H4" s="17" t="n">
        <v>0</v>
      </c>
      <c r="I4" s="17" t="n">
        <v>0</v>
      </c>
      <c r="J4" s="17" t="n">
        <v>0</v>
      </c>
      <c r="K4" s="6">
        <f>SUM(D4:J4)</f>
        <v/>
      </c>
    </row>
    <row r="5">
      <c r="A5" s="6" t="inlineStr">
        <is>
          <t>PSP04</t>
        </is>
      </c>
      <c r="B5" s="10" t="inlineStr">
        <is>
          <t>Shiitake Mushroom (มังสวิรัติ)</t>
        </is>
      </c>
      <c r="C5" s="16" t="n">
        <v>1</v>
      </c>
      <c r="D5" s="17" t="n">
        <v>0</v>
      </c>
      <c r="E5" s="17" t="n">
        <v>0</v>
      </c>
      <c r="F5" s="17" t="n">
        <v>0</v>
      </c>
      <c r="G5" s="18" t="n">
        <v>1</v>
      </c>
      <c r="H5" s="17" t="n">
        <v>0</v>
      </c>
      <c r="I5" s="18" t="n">
        <v>1</v>
      </c>
      <c r="J5" s="17" t="n">
        <v>0</v>
      </c>
      <c r="K5" s="6">
        <f>SUM(D5:J5)</f>
        <v/>
      </c>
    </row>
    <row r="6">
      <c r="A6" s="6" t="inlineStr">
        <is>
          <t>PSP05</t>
        </is>
      </c>
      <c r="B6" s="10" t="inlineStr">
        <is>
          <t>Chilli Olive Oil — สูตรเผ็ด</t>
        </is>
      </c>
      <c r="C6" s="16" t="n">
        <v>1</v>
      </c>
      <c r="D6" s="18" t="n">
        <v>1</v>
      </c>
      <c r="E6" s="18" t="n">
        <v>1</v>
      </c>
      <c r="F6" s="18" t="n">
        <v>1</v>
      </c>
      <c r="G6" s="18" t="n">
        <v>1</v>
      </c>
      <c r="H6" s="18" t="n">
        <v>1</v>
      </c>
      <c r="I6" s="18" t="n">
        <v>1</v>
      </c>
      <c r="J6" s="17" t="n">
        <v>0</v>
      </c>
      <c r="K6" s="6">
        <f>SUM(D6:J6)</f>
        <v/>
      </c>
    </row>
    <row r="7">
      <c r="A7" s="6" t="inlineStr">
        <is>
          <t>PSP07</t>
        </is>
      </c>
      <c r="B7" s="10" t="inlineStr">
        <is>
          <t>Shiitake Mushroom (สูตรเจ)</t>
        </is>
      </c>
      <c r="C7" s="16" t="n">
        <v>1</v>
      </c>
      <c r="D7" s="17" t="n">
        <v>0</v>
      </c>
      <c r="E7" s="17" t="n">
        <v>0</v>
      </c>
      <c r="F7" s="17" t="n">
        <v>0</v>
      </c>
      <c r="G7" s="17" t="n">
        <v>0</v>
      </c>
      <c r="H7" s="17" t="n">
        <v>0</v>
      </c>
      <c r="I7" s="17" t="n">
        <v>0</v>
      </c>
      <c r="J7" s="18" t="n">
        <v>1</v>
      </c>
      <c r="K7" s="6">
        <f>SUM(D7:J7)</f>
        <v/>
      </c>
    </row>
    <row r="8">
      <c r="A8" s="6" t="inlineStr">
        <is>
          <t>PSP12</t>
        </is>
      </c>
      <c r="B8" s="10" t="inlineStr">
        <is>
          <t>Spicy Mackerel Chilli Paste</t>
        </is>
      </c>
      <c r="C8" s="16" t="n">
        <v>1</v>
      </c>
      <c r="D8" s="17" t="n">
        <v>0</v>
      </c>
      <c r="E8" s="17" t="n">
        <v>0</v>
      </c>
      <c r="F8" s="17" t="n">
        <v>0</v>
      </c>
      <c r="G8" s="18" t="n">
        <v>1</v>
      </c>
      <c r="H8" s="17" t="n">
        <v>0</v>
      </c>
      <c r="I8" s="17" t="n">
        <v>0</v>
      </c>
      <c r="J8" s="17" t="n">
        <v>0</v>
      </c>
      <c r="K8" s="6">
        <f>SUM(D8:J8)</f>
        <v/>
      </c>
    </row>
    <row r="9">
      <c r="A9" s="6" t="inlineStr">
        <is>
          <t>PSP14</t>
        </is>
      </c>
      <c r="B9" s="10" t="inlineStr">
        <is>
          <t>Shrimp Red Hot Chilli Paste</t>
        </is>
      </c>
      <c r="C9" s="16" t="n">
        <v>1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6">
        <f>SUM(D9:J9)</f>
        <v/>
      </c>
    </row>
    <row r="10">
      <c r="A10" s="6" t="inlineStr">
        <is>
          <t>PSP15</t>
        </is>
      </c>
      <c r="B10" s="10" t="inlineStr">
        <is>
          <t>Ground Roasted Chili 100%</t>
        </is>
      </c>
      <c r="C10" s="16" t="n">
        <v>1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6">
        <f>SUM(D10:J10)</f>
        <v/>
      </c>
    </row>
    <row r="11">
      <c r="A11" s="6" t="inlineStr">
        <is>
          <t>PSP17</t>
        </is>
      </c>
      <c r="B11" s="10" t="inlineStr">
        <is>
          <t>Chilli Olive Oil — สูตรปกติ</t>
        </is>
      </c>
      <c r="C11" s="16" t="n">
        <v>1</v>
      </c>
      <c r="D11" s="18" t="n">
        <v>1</v>
      </c>
      <c r="E11" s="18" t="n">
        <v>1</v>
      </c>
      <c r="F11" s="18" t="n">
        <v>1</v>
      </c>
      <c r="G11" s="18" t="n">
        <v>1</v>
      </c>
      <c r="H11" s="18" t="n">
        <v>1</v>
      </c>
      <c r="I11" s="18" t="n">
        <v>1</v>
      </c>
      <c r="J11" s="17" t="n">
        <v>0</v>
      </c>
      <c r="K11" s="6">
        <f>SUM(D11:J11)</f>
        <v/>
      </c>
    </row>
    <row r="12">
      <c r="A12" s="6" t="inlineStr">
        <is>
          <t>PSP18</t>
        </is>
      </c>
      <c r="B12" s="10" t="inlineStr">
        <is>
          <t>Pickled Fish Chilli Paste</t>
        </is>
      </c>
      <c r="C12" s="16" t="n">
        <v>1</v>
      </c>
      <c r="D12" s="17" t="n">
        <v>0</v>
      </c>
      <c r="E12" s="17" t="n">
        <v>0</v>
      </c>
      <c r="F12" s="17" t="n">
        <v>0</v>
      </c>
      <c r="G12" s="18" t="n">
        <v>1</v>
      </c>
      <c r="H12" s="17" t="n">
        <v>0</v>
      </c>
      <c r="I12" s="17" t="n">
        <v>0</v>
      </c>
      <c r="J12" s="17" t="n">
        <v>0</v>
      </c>
      <c r="K12" s="6">
        <f>SUM(D12:J12)</f>
        <v/>
      </c>
    </row>
    <row r="13">
      <c r="A13" s="6" t="inlineStr">
        <is>
          <t>PSP80</t>
        </is>
      </c>
      <c r="B13" s="10" t="inlineStr">
        <is>
          <t>Nam Pla Whan Sab</t>
        </is>
      </c>
      <c r="C13" s="16" t="n">
        <v>1</v>
      </c>
      <c r="D13" s="17" t="n">
        <v>0</v>
      </c>
      <c r="E13" s="17" t="n">
        <v>0</v>
      </c>
      <c r="F13" s="17" t="n">
        <v>0</v>
      </c>
      <c r="G13" s="17" t="n">
        <v>0</v>
      </c>
      <c r="H13" s="17" t="n">
        <v>0</v>
      </c>
      <c r="I13" s="17" t="n">
        <v>0</v>
      </c>
      <c r="J13" s="17" t="n">
        <v>0</v>
      </c>
      <c r="K13" s="6">
        <f>SUM(D13:J13)</f>
        <v/>
      </c>
    </row>
    <row r="14">
      <c r="A14" s="6" t="inlineStr">
        <is>
          <t>PSP89</t>
        </is>
      </c>
      <c r="B14" s="10" t="inlineStr">
        <is>
          <t>Chilli Sesame Oil</t>
        </is>
      </c>
      <c r="C14" s="16" t="n">
        <v>1</v>
      </c>
      <c r="D14" s="17" t="n">
        <v>0</v>
      </c>
      <c r="E14" s="17" t="n">
        <v>0</v>
      </c>
      <c r="F14" s="17" t="n">
        <v>0</v>
      </c>
      <c r="G14" s="18" t="n">
        <v>1</v>
      </c>
      <c r="H14" s="18" t="n">
        <v>1</v>
      </c>
      <c r="I14" s="18" t="n">
        <v>1</v>
      </c>
      <c r="J14" s="17" t="n">
        <v>0</v>
      </c>
      <c r="K14" s="6">
        <f>SUM(D14:J14)</f>
        <v/>
      </c>
    </row>
    <row r="15">
      <c r="A15" s="6" t="inlineStr">
        <is>
          <t>PSP90</t>
        </is>
      </c>
      <c r="B15" s="10" t="inlineStr">
        <is>
          <t>Olive Nut Crunch</t>
        </is>
      </c>
      <c r="C15" s="16" t="n">
        <v>1</v>
      </c>
      <c r="D15" s="17" t="n">
        <v>0</v>
      </c>
      <c r="E15" s="17" t="n">
        <v>0</v>
      </c>
      <c r="F15" s="17" t="n">
        <v>0</v>
      </c>
      <c r="G15" s="18" t="n">
        <v>1</v>
      </c>
      <c r="H15" s="17" t="n">
        <v>0</v>
      </c>
      <c r="I15" s="18" t="n">
        <v>1</v>
      </c>
      <c r="J15" s="18" t="n">
        <v>1</v>
      </c>
      <c r="K15" s="6">
        <f>SUM(D15:J15)</f>
        <v/>
      </c>
    </row>
    <row r="16">
      <c r="A16" s="19" t="n"/>
      <c r="B16" s="5" t="inlineStr">
        <is>
          <t>รวม SKU ที่กระทบต่อประเด็น</t>
        </is>
      </c>
      <c r="C16" s="20">
        <f>SUM(C3:C15)</f>
        <v/>
      </c>
      <c r="D16" s="20">
        <f>SUM(D3:D15)</f>
        <v/>
      </c>
      <c r="E16" s="20">
        <f>SUM(E3:E15)</f>
        <v/>
      </c>
      <c r="F16" s="20">
        <f>SUM(F3:F15)</f>
        <v/>
      </c>
      <c r="G16" s="20">
        <f>SUM(G3:G15)</f>
        <v/>
      </c>
      <c r="H16" s="20">
        <f>SUM(H3:H15)</f>
        <v/>
      </c>
      <c r="I16" s="20">
        <f>SUM(I3:I15)</f>
        <v/>
      </c>
      <c r="J16" s="20">
        <f>SUM(J3:J15)</f>
        <v/>
      </c>
      <c r="K16" s="19" t="n"/>
    </row>
  </sheetData>
  <mergeCells count="1">
    <mergeCell ref="A1:J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2026-09-27T04:46:03Z</dcterms:created>
  <dcterms:modified xmlns:dcterms="http://purl.org/dc/terms/" xmlns:xsi="http://www.w3.org/2001/XMLSchema-instance" xsi:type="dcterms:W3CDTF">2026-09-27T04:46:03Z</dcterms:modified>
</cp:coreProperties>
</file>